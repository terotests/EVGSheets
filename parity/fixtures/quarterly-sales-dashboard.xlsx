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<sst xmlns="http://schemas.openxmlformats.org/spreadsheetml/2006/main" count="21" uniqueCount="20">
  <si>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Quarterly Sales Dashboard</t>
  </si>
  <si>
    <t>Fiscal year 2026 · all figures in USD</t>
  </si>
  <si>
    <t>Total</t>
  </si>
  <si>
    <t>Region</t>
  </si>
  <si>
    <t>Q1</t>
  </si>
  <si>
    <t>Q2</t>
  </si>
  <si>
    <t>Q3</t>
  </si>
  <si>
    <t>Q4</t>
  </si>
  <si>
    <t>Growth</t>
  </si>
  <si>
    <t>Trend</t>
  </si>
  <si>
    <t>North</t>
  </si>
  <si>
    <t>South</t>
  </si>
  <si>
    <t>East</t>
  </si>
  <si>
    <t>West</t>
  </si>
  <si>
    <t>Central</t>
  </si>
  <si>
    <t>Online</t>
  </si>
  <si>
    <t>Best region</t>
  </si>
  <si>
    <t>Average quarter</t>
  </si>
  <si>
    <t>Online share</t>
  </si>
  <si>
    <t>Year-over-year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</si>
</sst>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sz val="11"/>
      <color theme="1"/>
      <name val="Calibri"/>
      <family val="2"/>
      <scheme val="minor"/>
    </font>
    <font>
      <sz val="18"/>
      <color rgb="FF1F3864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164" fontId="0" fillId="0" borderId="4" xfId="0" applyNumberFormat="1" applyBorder="1"/>
    <xf numFmtId="165" fontId="0" fillId="0" borderId="4" xfId="0" applyNumberFormat="1" applyBorder="1"/>
    <xf numFmtId="0" fontId="3" fillId="0" borderId="5" xfId="0" applyFont="1" applyBorder="1"/>
    <xf numFmtId="165" fontId="0" fillId="0" borderId="6" xfId="0" applyNumberFormat="1" applyBorder="1"/>
  </cellXfs>
  <cellStyles count="1">
    <cellStyle name="Normal" xfId="0" builtinId="0"/>
  </cellStyles>
  <dxfs count="2">
    <dxf>
      <numFmt numFmtId="164" formatCode="$#,##0"/>
    </dxf>
    <dxf>
      <numFmt numFmtId="165" formatCode="0.0%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Q1</c:v>
          </c:tx>
          <c:spPr>
            <a:solidFill>
              <a:srgbClr val="255E91"/>
            </a:solidFill>
          </c:spPr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Sales!$C$5:$C$10</c:f>
              <c:numCache>
                <c:formatCode>General</c:formatCode>
                <c:ptCount val="6"/>
                <c:pt idx="0">
                  <c:v>48200</c:v>
                </c:pt>
                <c:pt idx="1">
                  <c:v>39150</c:v>
                </c:pt>
                <c:pt idx="2">
                  <c:v>55300</c:v>
                </c:pt>
                <c:pt idx="3">
                  <c:v>61020</c:v>
                </c:pt>
                <c:pt idx="4">
                  <c:v>28740</c:v>
                </c:pt>
                <c:pt idx="5">
                  <c:v>72410</c:v>
                </c:pt>
              </c:numCache>
            </c:numRef>
          </c:val>
        </c:ser>
        <c:ser>
          <c:idx val="1"/>
          <c:order val="1"/>
          <c:tx>
            <c:v>Q2</c:v>
          </c:tx>
          <c:spPr>
            <a:solidFill>
              <a:srgbClr val="ED7D31"/>
            </a:solidFill>
          </c:spPr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Sales!$D$5:$D$10</c:f>
              <c:numCache>
                <c:formatCode>General</c:formatCode>
                <c:ptCount val="6"/>
                <c:pt idx="0">
                  <c:v>51340</c:v>
                </c:pt>
                <c:pt idx="1">
                  <c:v>37980</c:v>
                </c:pt>
                <c:pt idx="2">
                  <c:v>58910</c:v>
                </c:pt>
                <c:pt idx="3">
                  <c:v>64400</c:v>
                </c:pt>
                <c:pt idx="4">
                  <c:v>31260</c:v>
                </c:pt>
                <c:pt idx="5">
                  <c:v>81630</c:v>
                </c:pt>
              </c:numCache>
            </c:numRef>
          </c:val>
        </c:ser>
        <c:ser>
          <c:idx val="2"/>
          <c:order val="2"/>
          <c:tx>
            <c:v>Q3</c:v>
          </c:tx>
          <c:spPr>
            <a:solidFill>
              <a:srgbClr val="2E7D32"/>
            </a:solidFill>
          </c:spPr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Sales!$E$5:$E$10</c:f>
              <c:numCache>
                <c:formatCode>General</c:formatCode>
                <c:ptCount val="6"/>
                <c:pt idx="0">
                  <c:v>56010</c:v>
                </c:pt>
                <c:pt idx="1">
                  <c:v>42400</c:v>
                </c:pt>
                <c:pt idx="2">
                  <c:v>57230</c:v>
                </c:pt>
                <c:pt idx="3">
                  <c:v>70150</c:v>
                </c:pt>
                <c:pt idx="4">
                  <c:v>33980</c:v>
                </c:pt>
                <c:pt idx="5">
                  <c:v>95220</c:v>
                </c:pt>
              </c:numCache>
            </c:numRef>
          </c:val>
        </c:ser>
        <c:ser>
          <c:idx val="3"/>
          <c:order val="3"/>
          <c:tx>
            <c:v>Q4</c:v>
          </c:tx>
          <c:spPr>
            <a:solidFill>
              <a:srgbClr val="4AA3DF"/>
            </a:solidFill>
          </c:spPr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Sales!$F$5:$F$10</c:f>
              <c:numCache>
                <c:formatCode>General</c:formatCode>
                <c:ptCount val="6"/>
                <c:pt idx="0">
                  <c:v>61870</c:v>
                </c:pt>
                <c:pt idx="1">
                  <c:v>45120</c:v>
                </c:pt>
                <c:pt idx="2">
                  <c:v>63480</c:v>
                </c:pt>
                <c:pt idx="3">
                  <c:v>76390</c:v>
                </c:pt>
                <c:pt idx="4">
                  <c:v>36510</c:v>
                </c:pt>
                <c:pt idx="5">
                  <c:v>112840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of Annual Total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Share of Annual Total</c:v>
          </c:tx>
          <c:cat>
            <c:strRef>
              <c:f>Sales!$B$5:$B$10</c:f>
              <c:strCache>
                <c:ptCount val="6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  <c:pt idx="5">
                  <c:v>Online</c:v>
                </c:pt>
              </c:strCache>
            </c:strRef>
          </c:cat>
          <c:val>
            <c:numRef>
              <c:f>Sales!$G$5:$G$10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18</xdr:col>
      <xdr:colOff>381000</xdr:colOff>
      <xdr:row>19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381000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Table" displayName="SalesTable" ref="B4:I11" totalsRowCount="1">
  <autoFilter ref="B4:I10"/>
  <tableColumns count="8">
    <tableColumn id="1" name="Region" totalsRowLabel="Total"/>
    <tableColumn id="2" name="Q1" totalsRowFunction="sum" dataDxfId="0"/>
    <tableColumn id="3" name="Q2" totalsRowFunction="sum" dataDxfId="0"/>
    <tableColumn id="4" name="Q3" totalsRowFunction="sum" dataDxfId="0"/>
    <tableColumn id="5" name="Q4" totalsRowFunction="sum" dataDxfId="0"/>
    <tableColumn id="6" name="Total" totalsRowFunction="sum" dataDxfId="0">
      <calculatedColumnFormula>SUM(SalesTable[[#This Row],[Q1]:[Q4]])</calculatedColumnFormula>
    </tableColumn>
    <tableColumn id="7" name="Growth" totalsRowFunction="custom" dataDxfId="1">
      <calculatedColumnFormula>SalesTable[[#This Row],Q4]/SalesTable[[#This Row],Q1]-1</calculatedColumnFormula>
      <totalsRowFormula>custom</totalsRowFormula>
    </tableColumn>
    <tableColumn id="8" name="Tr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17"/>
  <sheetViews>
    <sheetView tabSelected="1" workbookViewId="0"/>
  </sheetViews>
  <sheetFormatPr defaultRowHeight="15"/>
  <cols>
    <col min="1" max="1" width="3.28515625" customWidth="1"/>
    <col min="2" max="2" width="13.7109375" customWidth="1"/>
    <col min="3" max="7" width="11.7109375" customWidth="1"/>
    <col min="8" max="9" width="9.7109375" customWidth="1"/>
  </cols>
  <sheetData>
    <row r="2" spans="2:9">
      <c r="B2" s="1" t="s">
        <v>0</v>
      </c>
    </row>
    <row r="3" spans="2:9">
      <c r="B3" s="2" t="s">
        <v>1</v>
      </c>
    </row>
    <row r="4" spans="2:9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2</v>
      </c>
      <c r="H4" t="s">
        <v>8</v>
      </c>
      <c r="I4" t="s">
        <v>9</v>
      </c>
    </row>
    <row r="5" spans="2:9">
      <c r="B5" t="s">
        <v>10</v>
      </c>
      <c r="C5" s="3">
        <v>48200</v>
      </c>
      <c r="D5" s="3">
        <v>51340</v>
      </c>
      <c r="E5" s="3">
        <v>56010</v>
      </c>
      <c r="F5" s="3">
        <v>61870</v>
      </c>
      <c r="G5" s="3">
        <f>SUM(SalesTable[[#This Row],[Q1]:[Q4]])</f>
        <v>0</v>
      </c>
      <c r="H5" s="4">
        <f>SalesTable[[#This Row],Q4]/SalesTable[[#This Row],Q1]-1</f>
        <v>0</v>
      </c>
    </row>
    <row r="6" spans="2:9">
      <c r="B6" t="s">
        <v>11</v>
      </c>
      <c r="C6" s="3">
        <v>39150</v>
      </c>
      <c r="D6" s="3">
        <v>37980</v>
      </c>
      <c r="E6" s="3">
        <v>42400</v>
      </c>
      <c r="F6" s="3">
        <v>45120</v>
      </c>
      <c r="G6" s="3">
        <f>SUM(SalesTable[[#This Row],[Q1]:[Q4]])</f>
        <v>0</v>
      </c>
      <c r="H6" s="4">
        <f>SalesTable[[#This Row],Q4]/SalesTable[[#This Row],Q1]-1</f>
        <v>0</v>
      </c>
    </row>
    <row r="7" spans="2:9">
      <c r="B7" t="s">
        <v>12</v>
      </c>
      <c r="C7" s="3">
        <v>55300</v>
      </c>
      <c r="D7" s="3">
        <v>58910</v>
      </c>
      <c r="E7" s="3">
        <v>57230</v>
      </c>
      <c r="F7" s="3">
        <v>63480</v>
      </c>
      <c r="G7" s="3">
        <f>SUM(SalesTable[[#This Row],[Q1]:[Q4]])</f>
        <v>0</v>
      </c>
      <c r="H7" s="4">
        <f>SalesTable[[#This Row],Q4]/SalesTable[[#This Row],Q1]-1</f>
        <v>0</v>
      </c>
    </row>
    <row r="8" spans="2:9">
      <c r="B8" t="s">
        <v>13</v>
      </c>
      <c r="C8" s="3">
        <v>61020</v>
      </c>
      <c r="D8" s="3">
        <v>64400</v>
      </c>
      <c r="E8" s="3">
        <v>70150</v>
      </c>
      <c r="F8" s="3">
        <v>76390</v>
      </c>
      <c r="G8" s="3">
        <f>SUM(SalesTable[[#This Row],[Q1]:[Q4]])</f>
        <v>0</v>
      </c>
      <c r="H8" s="4">
        <f>SalesTable[[#This Row],Q4]/SalesTable[[#This Row],Q1]-1</f>
        <v>0</v>
      </c>
    </row>
    <row r="9" spans="2:9">
      <c r="B9" t="s">
        <v>14</v>
      </c>
      <c r="C9" s="3">
        <v>28740</v>
      </c>
      <c r="D9" s="3">
        <v>31260</v>
      </c>
      <c r="E9" s="3">
        <v>33980</v>
      </c>
      <c r="F9" s="3">
        <v>36510</v>
      </c>
      <c r="G9" s="3">
        <f>SUM(SalesTable[[#This Row],[Q1]:[Q4]])</f>
        <v>0</v>
      </c>
      <c r="H9" s="4">
        <f>SalesTable[[#This Row],Q4]/SalesTable[[#This Row],Q1]-1</f>
        <v>0</v>
      </c>
    </row>
    <row r="10" spans="2:9">
      <c r="B10" t="s">
        <v>15</v>
      </c>
      <c r="C10" s="3">
        <v>72410</v>
      </c>
      <c r="D10" s="3">
        <v>81630</v>
      </c>
      <c r="E10" s="3">
        <v>95220</v>
      </c>
      <c r="F10" s="3">
        <v>112840</v>
      </c>
      <c r="G10" s="3">
        <f>SUM(SalesTable[[#This Row],[Q1]:[Q4]])</f>
        <v>0</v>
      </c>
      <c r="H10" s="4">
        <f>SalesTable[[#This Row],Q4]/SalesTable[[#This Row],Q1]-1</f>
        <v>0</v>
      </c>
    </row>
    <row r="11" spans="2:9">
      <c r="B11" t="s">
        <v>2</v>
      </c>
      <c r="C11" s="3">
        <f>SUBTOTAL(109,[Q1])</f>
        <v>0</v>
      </c>
      <c r="D11" s="3">
        <f>SUBTOTAL(109,[Q2])</f>
        <v>0</v>
      </c>
      <c r="E11" s="3">
        <f>SUBTOTAL(109,[Q3])</f>
        <v>0</v>
      </c>
      <c r="F11" s="3">
        <f>SUBTOTAL(109,[Q4])</f>
        <v>0</v>
      </c>
      <c r="G11" s="3">
        <f>SUBTOTAL(109,[Total])</f>
        <v>0</v>
      </c>
      <c r="H11" s="4">
        <f>custom</f>
        <v>0.277</v>
      </c>
    </row>
    <row r="14" spans="2:9">
      <c r="B14" s="5" t="s">
        <v>16</v>
      </c>
      <c r="C14" s="6" t="str">
        <f>INDEX(SalesTable[Region],MATCH(MAX(SalesTable[Total]),SalesTable[Total],0))</f>
        <v>Online</v>
      </c>
    </row>
    <row r="15" spans="2:9">
      <c r="B15" s="7" t="s">
        <v>17</v>
      </c>
      <c r="C15" s="8">
        <f>AVERAGE(SalesTable[[Q1]:[Q4]])</f>
        <v>57564.166666666664</v>
      </c>
    </row>
    <row r="16" spans="2:9">
      <c r="B16" s="7" t="s">
        <v>18</v>
      </c>
      <c r="C16" s="9">
        <f>G10/G11</f>
        <v>0.26209881726189616</v>
      </c>
    </row>
    <row r="17" spans="2:3">
      <c r="B17" s="10" t="s">
        <v>19</v>
      </c>
      <c r="C17" s="11">
        <v>0.3</v>
      </c>
    </row>
  </sheetData>
  <conditionalFormatting sqref="G5:G10">
    <cfRule type="dataBar" priority="1">
      <dataBar>
        <cfvo type="min" val="0"/>
        <cfvo type="max" val="0"/>
        <color rgb="FF5B9BD5"/>
      </dataBar>
    </cfRule>
  </conditionalFormatting>
  <conditionalFormatting sqref="H5:H10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Sales!C10:F10</xm:f>
              <xm:sqref>I10</xm:sqref>
            </x14:sparkline>
          </x14:sparklines>
        </x14:sparklineGroup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Sales!C9:F9</xm:f>
              <xm:sqref>I9</xm:sqref>
            </x14:sparkline>
          </x14:sparklines>
        </x14:sparklineGroup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Sales!C8:F8</xm:f>
              <xm:sqref>I8</xm:sqref>
            </x14:sparkline>
          </x14:sparklines>
        </x14:sparklineGroup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Sales!C7:F7</xm:f>
              <xm:sqref>I7</xm:sqref>
            </x14:sparkline>
          </x14:sparklines>
        </x14:sparklineGroup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Sales!C6:F6</xm:f>
              <xm:sqref>I6</xm:sqref>
            </x14:sparkline>
          </x14:sparklines>
        </x14:sparklineGroup>
        <x14:sparklineGroup displayEmptyCellsAs="gap">
          <x14:colorSeries rgb="FF1F4E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Sales!C5:F5</xm:f>
              <xm:sqref>I5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Sales Dashboard</dc:title>
  <dc:creator/>
  <cp:lastModifiedBy/>
  <dcterms:created xsi:type="dcterms:W3CDTF">2026-01-01T00:00:00Z</dcterms:created>
  <dcterms:modified xsi:type="dcterms:W3CDTF">2026-01-01T00:00:00Z</dcterms:modified>
</cp:coreProperties>
</file>